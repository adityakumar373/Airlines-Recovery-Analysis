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wnloads\Avionyz\Airline-Recovery-Analysis\"/>
    </mc:Choice>
  </mc:AlternateContent>
  <xr:revisionPtr revIDLastSave="0" documentId="13_ncr:1_{56CF3685-2B1A-4D88-B432-6628EC6C1DCB}" xr6:coauthVersionLast="47" xr6:coauthVersionMax="47" xr10:uidLastSave="{00000000-0000-0000-0000-000000000000}"/>
  <bookViews>
    <workbookView xWindow="-110" yWindow="-110" windowWidth="19420" windowHeight="10300" xr2:uid="{9681C438-09AC-4DF4-9D57-943FA22BFC39}"/>
  </bookViews>
  <sheets>
    <sheet name="Data" sheetId="1" r:id="rId1"/>
    <sheet name="Notes" sheetId="2" r:id="rId2"/>
  </sheets>
  <definedNames>
    <definedName name="_xlnm._FilterDatabase" localSheetId="0" hidden="1">Data!$A$3:$J$45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 l="1"/>
  <c r="E5" i="1"/>
  <c r="E6" i="1"/>
  <c r="E7" i="1"/>
  <c r="E8" i="1"/>
  <c r="E9" i="1"/>
  <c r="E10" i="1"/>
  <c r="E11" i="1"/>
  <c r="E12" i="1"/>
  <c r="E13" i="1"/>
  <c r="E38" i="1"/>
  <c r="E37" i="1"/>
  <c r="E36" i="1"/>
  <c r="E35" i="1"/>
  <c r="E34" i="1"/>
  <c r="E33" i="1"/>
  <c r="E32" i="1"/>
  <c r="E31" i="1"/>
  <c r="E30" i="1"/>
  <c r="E29" i="1"/>
  <c r="E28" i="1"/>
  <c r="E27" i="1"/>
  <c r="E26" i="1"/>
  <c r="E25" i="1"/>
  <c r="E24" i="1"/>
  <c r="E23" i="1"/>
  <c r="E16" i="1"/>
  <c r="E22" i="1"/>
  <c r="E15" i="1"/>
  <c r="E21" i="1"/>
  <c r="E14" i="1"/>
  <c r="E20" i="1"/>
  <c r="E19" i="1"/>
  <c r="E18" i="1"/>
</calcChain>
</file>

<file path=xl/sharedStrings.xml><?xml version="1.0" encoding="utf-8"?>
<sst xmlns="http://schemas.openxmlformats.org/spreadsheetml/2006/main" count="224" uniqueCount="92">
  <si>
    <t>Airline</t>
  </si>
  <si>
    <t>Region</t>
  </si>
  <si>
    <t>Year</t>
  </si>
  <si>
    <t>Passengers</t>
  </si>
  <si>
    <t>Load Factor</t>
  </si>
  <si>
    <t>Fleet size</t>
  </si>
  <si>
    <t>Destination</t>
  </si>
  <si>
    <t>Source</t>
  </si>
  <si>
    <t>Notes</t>
  </si>
  <si>
    <t>India</t>
  </si>
  <si>
    <t>Baseline Year</t>
  </si>
  <si>
    <t>IndiGo</t>
  </si>
  <si>
    <t>IndiGo Annual report FY-2020-21 operational and financial table</t>
  </si>
  <si>
    <t>IndiGo Annual Report FY-2019-2020 operational and financial table</t>
  </si>
  <si>
    <t>IndiGo Annual report FY-2022-23 operational and financial table</t>
  </si>
  <si>
    <t>IndiGo Annual report FY-2023-24 operational and financial table</t>
  </si>
  <si>
    <t>IndiGo Annual report FY-2025 operational and financial table</t>
  </si>
  <si>
    <t>Air India</t>
  </si>
  <si>
    <t>Air India Business Trends, MoCA</t>
  </si>
  <si>
    <t>DGCA passenger stats, MoCA</t>
  </si>
  <si>
    <t>Air India factsheet</t>
  </si>
  <si>
    <t>Spice jet</t>
  </si>
  <si>
    <t>Spice Jet Annual Report FY-2018-2019 operational and financial table</t>
  </si>
  <si>
    <t>Air India Annual Return FY-2020-21</t>
  </si>
  <si>
    <t>Air India Annual Return FY-2021-22; Tata Group disclosures</t>
  </si>
  <si>
    <t>Air India Annual Return FY-2022-23</t>
  </si>
  <si>
    <t>Air India Annual Return FY-2023-24; Air India factsheet</t>
  </si>
  <si>
    <t>Spice Jet Annual Report FY-2019-2020 operational and financial table</t>
  </si>
  <si>
    <t>Spice Jet Annual Report FY-2020-2021 operational and financial table and wikipedia</t>
  </si>
  <si>
    <t>Spice Jet Annual Report FY-2021-2022 operational and financial table</t>
  </si>
  <si>
    <t>Spice Jet Annual Report FY-2022-2023 operational and financial table</t>
  </si>
  <si>
    <t>Spice Jet Annual Report FY-2023-2024 operational and financial table, wikipedia</t>
  </si>
  <si>
    <t>Spice Jet Annual Report FY-2024-2025 operational and financial table, wikipedia</t>
  </si>
  <si>
    <t>Revenue(USD millions)</t>
  </si>
  <si>
    <t>Baseline Year, revenue converted from inr to usd by using average conversion rate of that year</t>
  </si>
  <si>
    <t>Covid Year, revenue converted from inr to usd by using average conversion rate of that year</t>
  </si>
  <si>
    <t>COVID-19 impacted year with significant capacity and passenger decline, revenue converted from inr to usd by using average conversion rate of that year</t>
  </si>
  <si>
    <t>After Covid Stabilization, revenue converted from inr to usd by using average conversion rate of that year</t>
  </si>
  <si>
    <t>Growth after impact, revenue converted from inr to usd by using average conversion rate of that year</t>
  </si>
  <si>
    <t>record year, revenue converted from inr to usd by using average conversion rate of that year</t>
  </si>
  <si>
    <t>Scaling and expansion of business, revenue converted from inr to usd by using average conversion rate of that year</t>
  </si>
  <si>
    <t>Baseline year, industry-reported airline metrics, revenue converted from inr to usd by using average conversion rate of that year</t>
  </si>
  <si>
    <t>COVID-19 impact year, international operations heavily restricted, revenue converted from inr to usd by using average conversion rate of that year</t>
  </si>
  <si>
    <t>Only turnover disclosed, operational metrics not published, revenue converted from inr to usd by using average conversion rate of that year</t>
  </si>
  <si>
    <t>Post-privatization transition year, revenue converted from inr to usd by using average conversion rate of that year</t>
  </si>
  <si>
    <t>Strong recovery, financials available, operationals not fully disclosed, revenue converted from inr to usd by using average conversion rate of that year</t>
  </si>
  <si>
    <t>Network rebuild, revenue converted from inr to usd by using average conversion rate of that year</t>
  </si>
  <si>
    <t>FY25 financials not yet published, revenue converted from inr to usd by using average conversion rate of that year</t>
  </si>
  <si>
    <t>COVID-19 impact but passenger traffic remained strong for most of the year with approximately 25 million passengers carried, revenue converted from inr to usd by using average conversion rate of that year</t>
  </si>
  <si>
    <t>Approximate airline network size based on published destination list around FY2021 as annual report did not include explicit destination count, revenue converted from inr to usd by using average conversion rate of that year</t>
  </si>
  <si>
    <t>Small recovery after covid-19 impact, revenue converted from inr to usd by using average conversion rate of that year</t>
  </si>
  <si>
    <t>Number of flights decreased and destinations are not clearly mention in the report, revenue converted from inr to usd by using average conversion rate of that year</t>
  </si>
  <si>
    <t>decrease in revenue, number of passengers and flights but load factor increased, revenue converted from inr to usd by using average conversion rate of that year</t>
  </si>
  <si>
    <t>Number of destination increased but overall performance still low from previous year, revenue converted from inr to usd by using average conversion rate of that year</t>
  </si>
  <si>
    <t>Emirates</t>
  </si>
  <si>
    <t>Gulf</t>
  </si>
  <si>
    <t xml:space="preserve">Emirates Group Annual Report 2018-19 </t>
  </si>
  <si>
    <t>Baseline Year, revenue converted from aed to usd by using average conversion rate of that year</t>
  </si>
  <si>
    <t xml:space="preserve">Emirates Group Annual Report 2019-20 </t>
  </si>
  <si>
    <t xml:space="preserve">Emirates Group Annual Report 2020-21 </t>
  </si>
  <si>
    <t xml:space="preserve">Emirates Group Annual Report 2021-22 </t>
  </si>
  <si>
    <t xml:space="preserve">Emirates Group Annual Report 2022-23 </t>
  </si>
  <si>
    <t xml:space="preserve">Emirates Group Annual Report 2023-24 </t>
  </si>
  <si>
    <t xml:space="preserve">Emirates Group Annual Report 2024-25 </t>
  </si>
  <si>
    <t>slight difference in numbers, revenue converted from aed to usd by using average conversion rate which is pegged at 3.67 for all years</t>
  </si>
  <si>
    <t>COVID-19 imoacted year in which all the numbers gets down</t>
  </si>
  <si>
    <t xml:space="preserve">Recovery after COVID-19 </t>
  </si>
  <si>
    <t>Constant increase in revenue and passengers</t>
  </si>
  <si>
    <t>all numbers increased but destination decreased</t>
  </si>
  <si>
    <t>all numbers increased but destination and load factor decreased</t>
  </si>
  <si>
    <t>Qatar Airways</t>
  </si>
  <si>
    <t>Qatar Airways Annnual Report 2018-19</t>
  </si>
  <si>
    <t>Qatar Airways Annnual Report 2019-20</t>
  </si>
  <si>
    <t>Qatar Airways Annnual Report 2020-21</t>
  </si>
  <si>
    <t>Qatar Airways Annnual Report 2021-22</t>
  </si>
  <si>
    <t>Qatar Airways Annnual Report 2022-23</t>
  </si>
  <si>
    <t>Qatar Airways Annnual Report 2023-24</t>
  </si>
  <si>
    <t>Qatar Airways Annnual Report 2024-25</t>
  </si>
  <si>
    <t>Etihad Airways</t>
  </si>
  <si>
    <t>Etihad Airways Articles, wikipedia</t>
  </si>
  <si>
    <t>Only first 9 months data is released upto september 2025</t>
  </si>
  <si>
    <t xml:space="preserve">Number of destinations served decreased </t>
  </si>
  <si>
    <t>Recovery period</t>
  </si>
  <si>
    <t>Baseline Year, load factor is not found from a reliable source, revenue is converted from qar to usd using average conversion rate(constant every year)</t>
  </si>
  <si>
    <t>Strong increase in revenue, passengers and number of flights</t>
  </si>
  <si>
    <t>Stable increase in all numbers</t>
  </si>
  <si>
    <t>destinations served also increased</t>
  </si>
  <si>
    <t>Slight recovery in revenue but passengers, fleet, load factor, destinations decreased a lot</t>
  </si>
  <si>
    <t>Recovery period after crises</t>
  </si>
  <si>
    <t>growth increased and operational parameters also increased</t>
  </si>
  <si>
    <t>S No.</t>
  </si>
  <si>
    <t>Airline Recovery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</si>
</sst>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
  </numFmts>
  <fonts count="5" x14ac:knownFonts="1">
    <font>
      <sz val="11"/>
      <color theme="1"/>
      <name val="Calibri"/>
      <family val="2"/>
      <scheme val="minor"/>
    </font>
    <font>
      <b/>
      <sz val="12"/>
      <color theme="1"/>
      <name val="Times New Roman"/>
      <family val="1"/>
    </font>
    <font>
      <sz val="8"/>
      <name val="Calibri"/>
      <family val="2"/>
      <scheme val="minor"/>
    </font>
    <font>
      <u/>
      <sz val="22"/>
      <color theme="1"/>
      <name val="Calibri"/>
      <family val="2"/>
      <scheme val="minor"/>
    </font>
    <font>
      <u/>
      <sz val="22"/>
      <color theme="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8"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wrapText="1"/>
    </xf>
    <xf numFmtId="0" fontId="0" fillId="0" borderId="0" xfId="0" applyAlignment="1">
      <alignment horizont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1" fontId="0" fillId="3" borderId="1" xfId="0" applyNumberFormat="1" applyFill="1" applyBorder="1" applyAlignment="1">
      <alignment horizontal="center" vertical="center"/>
    </xf>
    <xf numFmtId="0" fontId="4" fillId="4" borderId="0" xfId="0" applyFont="1" applyFill="1" applyAlignment="1">
      <alignment horizontal="center" vertical="center"/>
    </xf>
    <xf numFmtId="0" fontId="3" fillId="4" borderId="0" xfId="0" applyFont="1" applyFill="1" applyAlignment="1">
      <alignment horizontal="center" vertical="center"/>
    </xf>
    <xf numFmtId="0" fontId="3" fillId="4" borderId="2" xfId="0" applyFont="1" applyFill="1" applyBorder="1" applyAlignment="1">
      <alignment horizontal="center" vertical="center"/>
    </xf>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0" fillId="3" borderId="0" xfId="0" applyFill="1"/>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FF9B"/>
      <color rgb="FFADE6FD"/>
      <color rgb="FFFFCC99"/>
      <color rgb="FFFFC5C5"/>
      <color rgb="FFD8CBF1"/>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1DC57-6147-4DE0-AFB1-A3E0368E3B70}">
  <dimension ref="A1:J45"/>
  <sheetViews>
    <sheetView tabSelected="1" zoomScale="88" zoomScaleNormal="100" workbookViewId="0">
      <selection activeCell="E5" sqref="E5"/>
    </sheetView>
  </sheetViews>
  <sheetFormatPr defaultRowHeight="14.5" x14ac:dyDescent="0.35"/>
  <cols>
    <col min="1" max="1" width="10.36328125" style="1" bestFit="1" customWidth="1"/>
    <col min="2" max="2" width="13.26953125" style="1" bestFit="1" customWidth="1"/>
    <col min="3" max="3" width="12" style="1" bestFit="1" customWidth="1"/>
    <col min="4" max="4" width="10.08984375" style="2" bestFit="1" customWidth="1"/>
    <col min="5" max="5" width="27.453125" style="3" bestFit="1" customWidth="1"/>
    <col min="6" max="6" width="15.7265625" style="2" bestFit="1" customWidth="1"/>
    <col min="7" max="7" width="17.1796875" style="4" bestFit="1" customWidth="1"/>
    <col min="8" max="8" width="14.08984375" style="2" bestFit="1" customWidth="1"/>
    <col min="9" max="9" width="16.1796875" style="2" bestFit="1" customWidth="1"/>
    <col min="10" max="10" width="30.26953125" style="6" customWidth="1"/>
    <col min="11" max="16384" width="8.7265625" style="1"/>
  </cols>
  <sheetData>
    <row r="1" spans="1:10" ht="14.5" customHeight="1" x14ac:dyDescent="0.35">
      <c r="A1" s="14" t="s">
        <v>91</v>
      </c>
      <c r="B1" s="15"/>
      <c r="C1" s="15"/>
      <c r="D1" s="15"/>
      <c r="E1" s="15"/>
      <c r="F1" s="15"/>
      <c r="G1" s="15"/>
      <c r="H1" s="15"/>
      <c r="I1" s="15"/>
      <c r="J1" s="15"/>
    </row>
    <row r="2" spans="1:10" x14ac:dyDescent="0.35">
      <c r="A2" s="16"/>
      <c r="B2" s="16"/>
      <c r="C2" s="16"/>
      <c r="D2" s="16"/>
      <c r="E2" s="16"/>
      <c r="F2" s="16"/>
      <c r="G2" s="16"/>
      <c r="H2" s="16"/>
      <c r="I2" s="16"/>
      <c r="J2" s="16"/>
    </row>
    <row r="3" spans="1:10" s="23" customFormat="1" ht="15" x14ac:dyDescent="0.35">
      <c r="A3" s="17" t="s">
        <v>90</v>
      </c>
      <c r="B3" s="17" t="s">
        <v>0</v>
      </c>
      <c r="C3" s="17" t="s">
        <v>1</v>
      </c>
      <c r="D3" s="18" t="s">
        <v>2</v>
      </c>
      <c r="E3" s="19" t="s">
        <v>33</v>
      </c>
      <c r="F3" s="18" t="s">
        <v>3</v>
      </c>
      <c r="G3" s="20" t="s">
        <v>4</v>
      </c>
      <c r="H3" s="18" t="s">
        <v>5</v>
      </c>
      <c r="I3" s="18" t="s">
        <v>6</v>
      </c>
      <c r="J3" s="21" t="s">
        <v>7</v>
      </c>
    </row>
    <row r="4" spans="1:10" ht="43.5" x14ac:dyDescent="0.35">
      <c r="A4" s="7">
        <v>1</v>
      </c>
      <c r="B4" s="12" t="s">
        <v>11</v>
      </c>
      <c r="C4" s="12" t="s">
        <v>9</v>
      </c>
      <c r="D4" s="13">
        <v>2019</v>
      </c>
      <c r="E4" s="9">
        <f>284967.72/70.4</f>
        <v>4047.8369318181813</v>
      </c>
      <c r="F4" s="8">
        <v>64743000</v>
      </c>
      <c r="G4" s="10">
        <v>0.86199999999999999</v>
      </c>
      <c r="H4" s="8">
        <v>217</v>
      </c>
      <c r="I4" s="8">
        <v>68</v>
      </c>
      <c r="J4" s="11" t="s">
        <v>13</v>
      </c>
    </row>
    <row r="5" spans="1:10" ht="43.5" x14ac:dyDescent="0.35">
      <c r="A5" s="7">
        <v>2</v>
      </c>
      <c r="B5" s="12" t="s">
        <v>11</v>
      </c>
      <c r="C5" s="12" t="s">
        <v>9</v>
      </c>
      <c r="D5" s="13">
        <v>2020</v>
      </c>
      <c r="E5" s="9">
        <f>357560.01/74.13</f>
        <v>4823.4184540671795</v>
      </c>
      <c r="F5" s="8">
        <v>75026000</v>
      </c>
      <c r="G5" s="10">
        <v>0.85799999999999998</v>
      </c>
      <c r="H5" s="8">
        <v>262</v>
      </c>
      <c r="I5" s="8">
        <v>86</v>
      </c>
      <c r="J5" s="11" t="s">
        <v>13</v>
      </c>
    </row>
    <row r="6" spans="1:10" ht="29" x14ac:dyDescent="0.35">
      <c r="A6" s="7">
        <v>3</v>
      </c>
      <c r="B6" s="12" t="s">
        <v>11</v>
      </c>
      <c r="C6" s="12" t="s">
        <v>9</v>
      </c>
      <c r="D6" s="13">
        <v>2021</v>
      </c>
      <c r="E6" s="9">
        <f>146406.31/75.45</f>
        <v>1940.4414844267726</v>
      </c>
      <c r="F6" s="8">
        <v>30694000</v>
      </c>
      <c r="G6" s="10">
        <v>0.69399999999999995</v>
      </c>
      <c r="H6" s="8">
        <v>285</v>
      </c>
      <c r="I6" s="8">
        <v>65</v>
      </c>
      <c r="J6" s="11" t="s">
        <v>12</v>
      </c>
    </row>
    <row r="7" spans="1:10" ht="29" x14ac:dyDescent="0.35">
      <c r="A7" s="7">
        <v>4</v>
      </c>
      <c r="B7" s="12" t="s">
        <v>11</v>
      </c>
      <c r="C7" s="12" t="s">
        <v>9</v>
      </c>
      <c r="D7" s="13">
        <v>2022</v>
      </c>
      <c r="E7" s="9">
        <f>259309.27/80.34</f>
        <v>3227.6483694299227</v>
      </c>
      <c r="F7" s="8">
        <v>49803000</v>
      </c>
      <c r="G7" s="10">
        <v>0.73599999999999999</v>
      </c>
      <c r="H7" s="8">
        <v>275</v>
      </c>
      <c r="I7" s="8">
        <v>88</v>
      </c>
      <c r="J7" s="11" t="s">
        <v>14</v>
      </c>
    </row>
    <row r="8" spans="1:10" ht="29" x14ac:dyDescent="0.35">
      <c r="A8" s="7">
        <v>5</v>
      </c>
      <c r="B8" s="12" t="s">
        <v>11</v>
      </c>
      <c r="C8" s="12" t="s">
        <v>9</v>
      </c>
      <c r="D8" s="13">
        <v>2023</v>
      </c>
      <c r="E8" s="9">
        <f>544464.53/81.94</f>
        <v>6644.6732975347823</v>
      </c>
      <c r="F8" s="8">
        <v>85591000</v>
      </c>
      <c r="G8" s="10">
        <v>0.82099999999999995</v>
      </c>
      <c r="H8" s="8">
        <v>304</v>
      </c>
      <c r="I8" s="8">
        <v>100</v>
      </c>
      <c r="J8" s="11" t="s">
        <v>14</v>
      </c>
    </row>
    <row r="9" spans="1:10" ht="29" x14ac:dyDescent="0.35">
      <c r="A9" s="7">
        <v>6</v>
      </c>
      <c r="B9" s="12" t="s">
        <v>11</v>
      </c>
      <c r="C9" s="12" t="s">
        <v>9</v>
      </c>
      <c r="D9" s="13">
        <v>2024</v>
      </c>
      <c r="E9" s="9">
        <f>689043.42/83.67</f>
        <v>8235.2506274650423</v>
      </c>
      <c r="F9" s="8">
        <v>106728000</v>
      </c>
      <c r="G9" s="10">
        <v>0.85899999999999999</v>
      </c>
      <c r="H9" s="8">
        <v>367</v>
      </c>
      <c r="I9" s="8">
        <v>118</v>
      </c>
      <c r="J9" s="11" t="s">
        <v>15</v>
      </c>
    </row>
    <row r="10" spans="1:10" ht="29" x14ac:dyDescent="0.35">
      <c r="A10" s="7">
        <v>7</v>
      </c>
      <c r="B10" s="12" t="s">
        <v>11</v>
      </c>
      <c r="C10" s="12" t="s">
        <v>9</v>
      </c>
      <c r="D10" s="13">
        <v>2025</v>
      </c>
      <c r="E10" s="9">
        <f>808029/87.15</f>
        <v>9271.7039586919091</v>
      </c>
      <c r="F10" s="8">
        <v>118588000</v>
      </c>
      <c r="G10" s="10">
        <v>0.86</v>
      </c>
      <c r="H10" s="8">
        <v>434</v>
      </c>
      <c r="I10" s="8">
        <v>128</v>
      </c>
      <c r="J10" s="11" t="s">
        <v>16</v>
      </c>
    </row>
    <row r="11" spans="1:10" x14ac:dyDescent="0.35">
      <c r="A11" s="7">
        <v>8</v>
      </c>
      <c r="B11" s="12" t="s">
        <v>17</v>
      </c>
      <c r="C11" s="12" t="s">
        <v>9</v>
      </c>
      <c r="D11" s="13">
        <v>2019</v>
      </c>
      <c r="E11" s="9">
        <f>26487/70.4</f>
        <v>376.23579545454544</v>
      </c>
      <c r="F11" s="8">
        <v>22100000</v>
      </c>
      <c r="G11" s="10">
        <v>0.79</v>
      </c>
      <c r="H11" s="8">
        <v>170</v>
      </c>
      <c r="I11" s="8"/>
      <c r="J11" s="11" t="s">
        <v>18</v>
      </c>
    </row>
    <row r="12" spans="1:10" ht="14.5" customHeight="1" x14ac:dyDescent="0.35">
      <c r="A12" s="7">
        <v>9</v>
      </c>
      <c r="B12" s="12" t="s">
        <v>17</v>
      </c>
      <c r="C12" s="12" t="s">
        <v>9</v>
      </c>
      <c r="D12" s="13">
        <v>2020</v>
      </c>
      <c r="E12" s="9">
        <f>28524/74.13</f>
        <v>384.78348846620804</v>
      </c>
      <c r="F12" s="8">
        <v>6932000</v>
      </c>
      <c r="G12" s="10"/>
      <c r="H12" s="8">
        <v>170</v>
      </c>
      <c r="I12" s="8"/>
      <c r="J12" s="11" t="s">
        <v>19</v>
      </c>
    </row>
    <row r="13" spans="1:10" ht="29" x14ac:dyDescent="0.35">
      <c r="A13" s="7">
        <v>10</v>
      </c>
      <c r="B13" s="12" t="s">
        <v>17</v>
      </c>
      <c r="C13" s="12" t="s">
        <v>9</v>
      </c>
      <c r="D13" s="13">
        <v>2021</v>
      </c>
      <c r="E13" s="9">
        <f>121040.51/75.45</f>
        <v>1604.247978793903</v>
      </c>
      <c r="F13" s="8"/>
      <c r="G13" s="10"/>
      <c r="H13" s="8">
        <v>170</v>
      </c>
      <c r="I13" s="8"/>
      <c r="J13" s="11" t="s">
        <v>23</v>
      </c>
    </row>
    <row r="14" spans="1:10" ht="29" x14ac:dyDescent="0.35">
      <c r="A14" s="7">
        <v>11</v>
      </c>
      <c r="B14" s="12" t="s">
        <v>17</v>
      </c>
      <c r="C14" s="12" t="s">
        <v>9</v>
      </c>
      <c r="D14" s="13">
        <v>2022</v>
      </c>
      <c r="E14" s="9">
        <f>171052.26/80.34</f>
        <v>2129.1045556385361</v>
      </c>
      <c r="F14" s="8"/>
      <c r="G14" s="10"/>
      <c r="H14" s="8">
        <v>180</v>
      </c>
      <c r="I14" s="8"/>
      <c r="J14" s="11" t="s">
        <v>24</v>
      </c>
    </row>
    <row r="15" spans="1:10" ht="29" x14ac:dyDescent="0.35">
      <c r="A15" s="7">
        <v>12</v>
      </c>
      <c r="B15" s="12" t="s">
        <v>17</v>
      </c>
      <c r="C15" s="12" t="s">
        <v>9</v>
      </c>
      <c r="D15" s="13">
        <v>2023</v>
      </c>
      <c r="E15" s="9">
        <f>313773.68/81.94</f>
        <v>3829.3102269953624</v>
      </c>
      <c r="F15" s="8"/>
      <c r="G15" s="10"/>
      <c r="H15" s="8">
        <v>190</v>
      </c>
      <c r="I15" s="8"/>
      <c r="J15" s="11" t="s">
        <v>25</v>
      </c>
    </row>
    <row r="16" spans="1:10" ht="29" x14ac:dyDescent="0.35">
      <c r="A16" s="7">
        <v>13</v>
      </c>
      <c r="B16" s="12" t="s">
        <v>17</v>
      </c>
      <c r="C16" s="12" t="s">
        <v>9</v>
      </c>
      <c r="D16" s="13">
        <v>2024</v>
      </c>
      <c r="E16" s="9">
        <f>407761.13/83.67</f>
        <v>4873.4448428349469</v>
      </c>
      <c r="F16" s="8"/>
      <c r="G16" s="10"/>
      <c r="H16" s="8">
        <v>198</v>
      </c>
      <c r="I16" s="8">
        <v>91</v>
      </c>
      <c r="J16" s="11" t="s">
        <v>26</v>
      </c>
    </row>
    <row r="17" spans="1:10" x14ac:dyDescent="0.35">
      <c r="A17" s="7">
        <v>14</v>
      </c>
      <c r="B17" s="12" t="s">
        <v>17</v>
      </c>
      <c r="C17" s="12" t="s">
        <v>9</v>
      </c>
      <c r="D17" s="13">
        <v>2025</v>
      </c>
      <c r="E17" s="9"/>
      <c r="F17" s="8"/>
      <c r="G17" s="10"/>
      <c r="H17" s="8">
        <v>198</v>
      </c>
      <c r="I17" s="8">
        <v>91</v>
      </c>
      <c r="J17" s="11" t="s">
        <v>20</v>
      </c>
    </row>
    <row r="18" spans="1:10" ht="43.5" x14ac:dyDescent="0.35">
      <c r="A18" s="7">
        <v>15</v>
      </c>
      <c r="B18" s="12" t="s">
        <v>21</v>
      </c>
      <c r="C18" s="12" t="s">
        <v>9</v>
      </c>
      <c r="D18" s="13">
        <v>2019</v>
      </c>
      <c r="E18" s="9">
        <f>91715.44/70.4</f>
        <v>1302.7761363636364</v>
      </c>
      <c r="F18" s="8">
        <v>20000000</v>
      </c>
      <c r="G18" s="10">
        <v>0.92</v>
      </c>
      <c r="H18" s="8">
        <v>76</v>
      </c>
      <c r="I18" s="8">
        <v>62</v>
      </c>
      <c r="J18" s="11" t="s">
        <v>22</v>
      </c>
    </row>
    <row r="19" spans="1:10" ht="43.5" x14ac:dyDescent="0.35">
      <c r="A19" s="7">
        <v>16</v>
      </c>
      <c r="B19" s="12" t="s">
        <v>21</v>
      </c>
      <c r="C19" s="12" t="s">
        <v>9</v>
      </c>
      <c r="D19" s="13">
        <v>2020</v>
      </c>
      <c r="E19" s="9">
        <f>131359.87/74.13</f>
        <v>1772.0203696209362</v>
      </c>
      <c r="F19" s="8">
        <v>25000000</v>
      </c>
      <c r="G19" s="10">
        <v>0.9</v>
      </c>
      <c r="H19" s="8">
        <v>114</v>
      </c>
      <c r="I19" s="8">
        <v>57</v>
      </c>
      <c r="J19" s="11" t="s">
        <v>27</v>
      </c>
    </row>
    <row r="20" spans="1:10" ht="43.5" x14ac:dyDescent="0.35">
      <c r="A20" s="7">
        <v>17</v>
      </c>
      <c r="B20" s="12" t="s">
        <v>21</v>
      </c>
      <c r="C20" s="12" t="s">
        <v>9</v>
      </c>
      <c r="D20" s="13">
        <v>2021</v>
      </c>
      <c r="E20" s="9">
        <f>60669.36/75.45</f>
        <v>804.10019880715708</v>
      </c>
      <c r="F20" s="8">
        <v>8000000</v>
      </c>
      <c r="G20" s="10">
        <v>0.77</v>
      </c>
      <c r="H20" s="8">
        <v>98</v>
      </c>
      <c r="I20" s="8">
        <v>64</v>
      </c>
      <c r="J20" s="11" t="s">
        <v>28</v>
      </c>
    </row>
    <row r="21" spans="1:10" ht="43.5" x14ac:dyDescent="0.35">
      <c r="A21" s="7">
        <v>18</v>
      </c>
      <c r="B21" s="12" t="s">
        <v>21</v>
      </c>
      <c r="C21" s="12" t="s">
        <v>9</v>
      </c>
      <c r="D21" s="13">
        <v>2022</v>
      </c>
      <c r="E21" s="9">
        <f>75445.6/80.34</f>
        <v>939.07891461289523</v>
      </c>
      <c r="F21" s="8">
        <v>9000000</v>
      </c>
      <c r="G21" s="10">
        <v>0.8</v>
      </c>
      <c r="H21" s="8">
        <v>88</v>
      </c>
      <c r="I21" s="8">
        <v>65</v>
      </c>
      <c r="J21" s="11" t="s">
        <v>29</v>
      </c>
    </row>
    <row r="22" spans="1:10" ht="43.5" x14ac:dyDescent="0.35">
      <c r="A22" s="7">
        <v>19</v>
      </c>
      <c r="B22" s="12" t="s">
        <v>21</v>
      </c>
      <c r="C22" s="12" t="s">
        <v>9</v>
      </c>
      <c r="D22" s="13">
        <v>2023</v>
      </c>
      <c r="E22" s="9">
        <f>98597.5/81.94</f>
        <v>1203.288991945326</v>
      </c>
      <c r="F22" s="8">
        <v>12740000</v>
      </c>
      <c r="G22" s="10">
        <v>0.87</v>
      </c>
      <c r="H22" s="8">
        <v>76</v>
      </c>
      <c r="I22" s="8"/>
      <c r="J22" s="11" t="s">
        <v>30</v>
      </c>
    </row>
    <row r="23" spans="1:10" ht="43.5" x14ac:dyDescent="0.35">
      <c r="A23" s="7">
        <v>20</v>
      </c>
      <c r="B23" s="12" t="s">
        <v>21</v>
      </c>
      <c r="C23" s="12" t="s">
        <v>9</v>
      </c>
      <c r="D23" s="13">
        <v>2024</v>
      </c>
      <c r="E23" s="9">
        <f>84686.4/83.67</f>
        <v>1012.1477231982789</v>
      </c>
      <c r="F23" s="8">
        <v>9780000</v>
      </c>
      <c r="G23" s="10">
        <v>0.9</v>
      </c>
      <c r="H23" s="8">
        <v>65</v>
      </c>
      <c r="I23" s="8">
        <v>63</v>
      </c>
      <c r="J23" s="11" t="s">
        <v>31</v>
      </c>
    </row>
    <row r="24" spans="1:10" ht="43.5" x14ac:dyDescent="0.35">
      <c r="A24" s="7">
        <v>21</v>
      </c>
      <c r="B24" s="12" t="s">
        <v>21</v>
      </c>
      <c r="C24" s="12" t="s">
        <v>9</v>
      </c>
      <c r="D24" s="13">
        <v>2025</v>
      </c>
      <c r="E24" s="9">
        <f>66829.52/87.15</f>
        <v>766.83327596098684</v>
      </c>
      <c r="F24" s="8">
        <v>6940000</v>
      </c>
      <c r="G24" s="10">
        <v>0.88</v>
      </c>
      <c r="H24" s="8">
        <v>61</v>
      </c>
      <c r="I24" s="8">
        <v>73</v>
      </c>
      <c r="J24" s="11" t="s">
        <v>32</v>
      </c>
    </row>
    <row r="25" spans="1:10" ht="29" x14ac:dyDescent="0.35">
      <c r="A25" s="7">
        <v>22</v>
      </c>
      <c r="B25" s="12" t="s">
        <v>54</v>
      </c>
      <c r="C25" s="12" t="s">
        <v>55</v>
      </c>
      <c r="D25" s="13">
        <v>2019</v>
      </c>
      <c r="E25" s="9">
        <f>97907/3.67</f>
        <v>26677.65667574932</v>
      </c>
      <c r="F25" s="8">
        <v>58601000</v>
      </c>
      <c r="G25" s="10">
        <v>0.76800000000000002</v>
      </c>
      <c r="H25" s="8">
        <v>270</v>
      </c>
      <c r="I25" s="8">
        <v>158</v>
      </c>
      <c r="J25" s="11" t="s">
        <v>56</v>
      </c>
    </row>
    <row r="26" spans="1:10" ht="29" x14ac:dyDescent="0.35">
      <c r="A26" s="7">
        <v>23</v>
      </c>
      <c r="B26" s="12" t="s">
        <v>54</v>
      </c>
      <c r="C26" s="12" t="s">
        <v>55</v>
      </c>
      <c r="D26" s="13">
        <v>2020</v>
      </c>
      <c r="E26" s="9">
        <f>91972/3.67</f>
        <v>25060.490463215261</v>
      </c>
      <c r="F26" s="8">
        <v>56162000</v>
      </c>
      <c r="G26" s="10">
        <v>0.78500000000000003</v>
      </c>
      <c r="H26" s="8">
        <v>270</v>
      </c>
      <c r="I26" s="8">
        <v>157</v>
      </c>
      <c r="J26" s="11" t="s">
        <v>58</v>
      </c>
    </row>
    <row r="27" spans="1:10" ht="29" x14ac:dyDescent="0.35">
      <c r="A27" s="7">
        <v>24</v>
      </c>
      <c r="B27" s="12" t="s">
        <v>54</v>
      </c>
      <c r="C27" s="12" t="s">
        <v>55</v>
      </c>
      <c r="D27" s="13">
        <v>2021</v>
      </c>
      <c r="E27" s="9">
        <f>30927/3.67</f>
        <v>8426.9754768392377</v>
      </c>
      <c r="F27" s="8">
        <v>6553000</v>
      </c>
      <c r="G27" s="10">
        <v>0.443</v>
      </c>
      <c r="H27" s="8">
        <v>259</v>
      </c>
      <c r="I27" s="8">
        <v>157</v>
      </c>
      <c r="J27" s="11" t="s">
        <v>59</v>
      </c>
    </row>
    <row r="28" spans="1:10" ht="29" x14ac:dyDescent="0.35">
      <c r="A28" s="7">
        <v>25</v>
      </c>
      <c r="B28" s="12" t="s">
        <v>54</v>
      </c>
      <c r="C28" s="12" t="s">
        <v>55</v>
      </c>
      <c r="D28" s="13">
        <v>2022</v>
      </c>
      <c r="E28" s="9">
        <f>59180/3.67</f>
        <v>16125.340599455041</v>
      </c>
      <c r="F28" s="8">
        <v>19562000</v>
      </c>
      <c r="G28" s="10">
        <v>0.58599999999999997</v>
      </c>
      <c r="H28" s="8">
        <v>262</v>
      </c>
      <c r="I28" s="8">
        <v>152</v>
      </c>
      <c r="J28" s="11" t="s">
        <v>60</v>
      </c>
    </row>
    <row r="29" spans="1:10" ht="29" x14ac:dyDescent="0.35">
      <c r="A29" s="7">
        <v>26</v>
      </c>
      <c r="B29" s="12" t="s">
        <v>54</v>
      </c>
      <c r="C29" s="12" t="s">
        <v>55</v>
      </c>
      <c r="D29" s="13">
        <v>2023</v>
      </c>
      <c r="E29" s="9">
        <f>107356/3.67</f>
        <v>29252.316076294279</v>
      </c>
      <c r="F29" s="8">
        <v>43626000</v>
      </c>
      <c r="G29" s="10">
        <v>0.79500000000000004</v>
      </c>
      <c r="H29" s="8">
        <v>260</v>
      </c>
      <c r="I29" s="8">
        <v>150</v>
      </c>
      <c r="J29" s="11" t="s">
        <v>61</v>
      </c>
    </row>
    <row r="30" spans="1:10" ht="29" x14ac:dyDescent="0.35">
      <c r="A30" s="7">
        <v>27</v>
      </c>
      <c r="B30" s="12" t="s">
        <v>54</v>
      </c>
      <c r="C30" s="12" t="s">
        <v>55</v>
      </c>
      <c r="D30" s="13">
        <v>2024</v>
      </c>
      <c r="E30" s="9">
        <f>121221/3.67</f>
        <v>33030.245231607631</v>
      </c>
      <c r="F30" s="8">
        <v>51924000</v>
      </c>
      <c r="G30" s="10">
        <v>0.79900000000000004</v>
      </c>
      <c r="H30" s="8">
        <v>260</v>
      </c>
      <c r="I30" s="8">
        <v>151</v>
      </c>
      <c r="J30" s="11" t="s">
        <v>62</v>
      </c>
    </row>
    <row r="31" spans="1:10" ht="29" x14ac:dyDescent="0.35">
      <c r="A31" s="7">
        <v>28</v>
      </c>
      <c r="B31" s="12" t="s">
        <v>54</v>
      </c>
      <c r="C31" s="12" t="s">
        <v>55</v>
      </c>
      <c r="D31" s="13">
        <v>2025</v>
      </c>
      <c r="E31" s="9">
        <f>127936/3.67</f>
        <v>34859.945504087191</v>
      </c>
      <c r="F31" s="8">
        <v>53680000</v>
      </c>
      <c r="G31" s="10">
        <v>0.78900000000000003</v>
      </c>
      <c r="H31" s="8">
        <v>260</v>
      </c>
      <c r="I31" s="8">
        <v>148</v>
      </c>
      <c r="J31" s="11" t="s">
        <v>63</v>
      </c>
    </row>
    <row r="32" spans="1:10" ht="29" x14ac:dyDescent="0.35">
      <c r="A32" s="7">
        <v>29</v>
      </c>
      <c r="B32" s="12" t="s">
        <v>70</v>
      </c>
      <c r="C32" s="12" t="s">
        <v>55</v>
      </c>
      <c r="D32" s="13">
        <v>2019</v>
      </c>
      <c r="E32" s="9">
        <f>48021.791/3.64</f>
        <v>13192.799725274725</v>
      </c>
      <c r="F32" s="8">
        <v>29484000</v>
      </c>
      <c r="G32" s="10"/>
      <c r="H32" s="8">
        <v>250</v>
      </c>
      <c r="I32" s="8">
        <v>160</v>
      </c>
      <c r="J32" s="11" t="s">
        <v>71</v>
      </c>
    </row>
    <row r="33" spans="1:10" ht="29" x14ac:dyDescent="0.35">
      <c r="A33" s="7">
        <v>30</v>
      </c>
      <c r="B33" s="12" t="s">
        <v>70</v>
      </c>
      <c r="C33" s="12" t="s">
        <v>55</v>
      </c>
      <c r="D33" s="13">
        <v>2020</v>
      </c>
      <c r="E33" s="9">
        <f>51121/3.64</f>
        <v>14044.23076923077</v>
      </c>
      <c r="F33" s="8">
        <v>32364000</v>
      </c>
      <c r="G33" s="10">
        <v>0.87</v>
      </c>
      <c r="H33" s="8">
        <v>258</v>
      </c>
      <c r="I33" s="8">
        <v>33</v>
      </c>
      <c r="J33" s="11" t="s">
        <v>72</v>
      </c>
    </row>
    <row r="34" spans="1:10" ht="29" x14ac:dyDescent="0.35">
      <c r="A34" s="7">
        <v>31</v>
      </c>
      <c r="B34" s="12" t="s">
        <v>70</v>
      </c>
      <c r="C34" s="12" t="s">
        <v>55</v>
      </c>
      <c r="D34" s="13">
        <v>2021</v>
      </c>
      <c r="E34" s="9">
        <f>29399/3.64</f>
        <v>8076.6483516483513</v>
      </c>
      <c r="F34" s="8">
        <v>5829000</v>
      </c>
      <c r="G34" s="10"/>
      <c r="H34" s="8">
        <v>250</v>
      </c>
      <c r="I34" s="8">
        <v>131</v>
      </c>
      <c r="J34" s="11" t="s">
        <v>73</v>
      </c>
    </row>
    <row r="35" spans="1:10" ht="29" x14ac:dyDescent="0.35">
      <c r="A35" s="7">
        <v>32</v>
      </c>
      <c r="B35" s="12" t="s">
        <v>70</v>
      </c>
      <c r="C35" s="12" t="s">
        <v>55</v>
      </c>
      <c r="D35" s="13">
        <v>2022</v>
      </c>
      <c r="E35" s="9">
        <f>52305/3.64</f>
        <v>14369.505494505494</v>
      </c>
      <c r="F35" s="8">
        <v>18549000</v>
      </c>
      <c r="G35" s="10"/>
      <c r="H35" s="8">
        <v>257</v>
      </c>
      <c r="I35" s="8">
        <v>140</v>
      </c>
      <c r="J35" s="11" t="s">
        <v>74</v>
      </c>
    </row>
    <row r="36" spans="1:10" ht="29" x14ac:dyDescent="0.35">
      <c r="A36" s="7">
        <v>33</v>
      </c>
      <c r="B36" s="12" t="s">
        <v>70</v>
      </c>
      <c r="C36" s="12" t="s">
        <v>55</v>
      </c>
      <c r="D36" s="13">
        <v>2023</v>
      </c>
      <c r="E36" s="9">
        <f>75855.375/3.64</f>
        <v>20839.388736263736</v>
      </c>
      <c r="F36" s="8">
        <v>31747000</v>
      </c>
      <c r="G36" s="10"/>
      <c r="H36" s="8">
        <v>265</v>
      </c>
      <c r="I36" s="8"/>
      <c r="J36" s="11" t="s">
        <v>75</v>
      </c>
    </row>
    <row r="37" spans="1:10" ht="29" x14ac:dyDescent="0.35">
      <c r="A37" s="7">
        <v>34</v>
      </c>
      <c r="B37" s="12" t="s">
        <v>70</v>
      </c>
      <c r="C37" s="12" t="s">
        <v>55</v>
      </c>
      <c r="D37" s="13">
        <v>2024</v>
      </c>
      <c r="E37" s="9">
        <f>80961/3.64</f>
        <v>22242.032967032967</v>
      </c>
      <c r="F37" s="8">
        <v>40015000</v>
      </c>
      <c r="G37" s="10"/>
      <c r="H37" s="8">
        <v>284</v>
      </c>
      <c r="I37" s="8">
        <v>170</v>
      </c>
      <c r="J37" s="11" t="s">
        <v>76</v>
      </c>
    </row>
    <row r="38" spans="1:10" ht="29" x14ac:dyDescent="0.35">
      <c r="A38" s="7">
        <v>35</v>
      </c>
      <c r="B38" s="12" t="s">
        <v>70</v>
      </c>
      <c r="C38" s="12" t="s">
        <v>55</v>
      </c>
      <c r="D38" s="13">
        <v>2025</v>
      </c>
      <c r="E38" s="9">
        <f>85643.451/3.64</f>
        <v>23528.420604395604</v>
      </c>
      <c r="F38" s="8">
        <v>43145000</v>
      </c>
      <c r="G38" s="10"/>
      <c r="H38" s="8">
        <v>292</v>
      </c>
      <c r="I38" s="8">
        <v>177</v>
      </c>
      <c r="J38" s="11" t="s">
        <v>77</v>
      </c>
    </row>
    <row r="39" spans="1:10" x14ac:dyDescent="0.35">
      <c r="A39" s="7">
        <v>36</v>
      </c>
      <c r="B39" s="12" t="s">
        <v>78</v>
      </c>
      <c r="C39" s="12" t="s">
        <v>55</v>
      </c>
      <c r="D39" s="13">
        <v>2019</v>
      </c>
      <c r="E39" s="9">
        <v>5600</v>
      </c>
      <c r="F39" s="8">
        <v>17500000</v>
      </c>
      <c r="G39" s="10">
        <v>0.78700000000000003</v>
      </c>
      <c r="H39" s="8">
        <v>107</v>
      </c>
      <c r="I39" s="8">
        <v>76</v>
      </c>
      <c r="J39" s="11" t="s">
        <v>79</v>
      </c>
    </row>
    <row r="40" spans="1:10" x14ac:dyDescent="0.35">
      <c r="A40" s="7">
        <v>37</v>
      </c>
      <c r="B40" s="12" t="s">
        <v>78</v>
      </c>
      <c r="C40" s="12" t="s">
        <v>55</v>
      </c>
      <c r="D40" s="13">
        <v>2020</v>
      </c>
      <c r="E40" s="9">
        <v>2660</v>
      </c>
      <c r="F40" s="8">
        <v>4150000</v>
      </c>
      <c r="G40" s="10">
        <v>0.52900000000000003</v>
      </c>
      <c r="H40" s="8">
        <v>103</v>
      </c>
      <c r="I40" s="8">
        <v>50</v>
      </c>
      <c r="J40" s="11" t="s">
        <v>79</v>
      </c>
    </row>
    <row r="41" spans="1:10" x14ac:dyDescent="0.35">
      <c r="A41" s="7">
        <v>38</v>
      </c>
      <c r="B41" s="12" t="s">
        <v>78</v>
      </c>
      <c r="C41" s="12" t="s">
        <v>55</v>
      </c>
      <c r="D41" s="13">
        <v>2021</v>
      </c>
      <c r="E41" s="9">
        <v>3140</v>
      </c>
      <c r="F41" s="8">
        <v>3460000</v>
      </c>
      <c r="G41" s="10">
        <v>0.39600000000000002</v>
      </c>
      <c r="H41" s="8">
        <v>67</v>
      </c>
      <c r="I41" s="8">
        <v>64</v>
      </c>
      <c r="J41" s="11" t="s">
        <v>79</v>
      </c>
    </row>
    <row r="42" spans="1:10" x14ac:dyDescent="0.35">
      <c r="A42" s="7">
        <v>39</v>
      </c>
      <c r="B42" s="12" t="s">
        <v>78</v>
      </c>
      <c r="C42" s="12" t="s">
        <v>55</v>
      </c>
      <c r="D42" s="13">
        <v>2022</v>
      </c>
      <c r="E42" s="9">
        <v>4985</v>
      </c>
      <c r="F42" s="8">
        <v>10300000</v>
      </c>
      <c r="G42" s="10">
        <v>0.81899999999999995</v>
      </c>
      <c r="H42" s="8">
        <v>71</v>
      </c>
      <c r="I42" s="8">
        <v>69</v>
      </c>
      <c r="J42" s="11" t="s">
        <v>79</v>
      </c>
    </row>
    <row r="43" spans="1:10" x14ac:dyDescent="0.35">
      <c r="A43" s="7">
        <v>40</v>
      </c>
      <c r="B43" s="12" t="s">
        <v>78</v>
      </c>
      <c r="C43" s="12" t="s">
        <v>55</v>
      </c>
      <c r="D43" s="13">
        <v>2023</v>
      </c>
      <c r="E43" s="9">
        <v>5524</v>
      </c>
      <c r="F43" s="8">
        <v>14000000</v>
      </c>
      <c r="G43" s="10">
        <v>0.86</v>
      </c>
      <c r="H43" s="8">
        <v>85</v>
      </c>
      <c r="I43" s="8">
        <v>72</v>
      </c>
      <c r="J43" s="11" t="s">
        <v>79</v>
      </c>
    </row>
    <row r="44" spans="1:10" x14ac:dyDescent="0.35">
      <c r="A44" s="7">
        <v>41</v>
      </c>
      <c r="B44" s="12" t="s">
        <v>78</v>
      </c>
      <c r="C44" s="12" t="s">
        <v>55</v>
      </c>
      <c r="D44" s="13">
        <v>2024</v>
      </c>
      <c r="E44" s="9">
        <v>6894</v>
      </c>
      <c r="F44" s="8">
        <v>18500000</v>
      </c>
      <c r="G44" s="10">
        <v>0.87</v>
      </c>
      <c r="H44" s="8">
        <v>97</v>
      </c>
      <c r="I44" s="8">
        <v>80</v>
      </c>
      <c r="J44" s="11" t="s">
        <v>79</v>
      </c>
    </row>
    <row r="45" spans="1:10" x14ac:dyDescent="0.35">
      <c r="A45" s="7">
        <v>42</v>
      </c>
      <c r="B45" s="12" t="s">
        <v>78</v>
      </c>
      <c r="C45" s="12" t="s">
        <v>55</v>
      </c>
      <c r="D45" s="13">
        <v>2025</v>
      </c>
      <c r="E45" s="9">
        <v>5904</v>
      </c>
      <c r="F45" s="8">
        <v>16100000</v>
      </c>
      <c r="G45" s="10">
        <v>0.88</v>
      </c>
      <c r="H45" s="8">
        <v>115</v>
      </c>
      <c r="I45" s="8">
        <v>112</v>
      </c>
      <c r="J45" s="11" t="s">
        <v>79</v>
      </c>
    </row>
  </sheetData>
  <autoFilter ref="A3:J45" xr:uid="{38B1DC57-6147-4DE0-AFB1-A3E0368E3B70}">
    <sortState xmlns:xlrd2="http://schemas.microsoft.com/office/spreadsheetml/2017/richdata2" ref="A4:J45">
      <sortCondition ref="A3:A45"/>
    </sortState>
  </autoFilter>
  <mergeCells count="1">
    <mergeCell ref="A1:J2"/>
  </mergeCells>
  <phoneticPr fontId="2" type="noConversion"/>
  <conditionalFormatting sqref="D1:D3 D46: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D145-0035-462B-B472-89E9CC430F09}">
  <dimension ref="A1:C45"/>
  <sheetViews>
    <sheetView workbookViewId="0">
      <selection activeCell="C1" sqref="C1"/>
    </sheetView>
  </sheetViews>
  <sheetFormatPr defaultRowHeight="14.5" x14ac:dyDescent="0.35"/>
  <cols>
    <col min="1" max="1" width="13.1796875" style="1" bestFit="1" customWidth="1"/>
    <col min="2" max="2" width="5.453125" style="2" bestFit="1" customWidth="1"/>
    <col min="3" max="3" width="44.6328125" style="5" bestFit="1" customWidth="1"/>
  </cols>
  <sheetData>
    <row r="1" spans="1:3" s="22" customFormat="1" ht="15" x14ac:dyDescent="0.35">
      <c r="A1" s="17" t="s">
        <v>0</v>
      </c>
      <c r="B1" s="18" t="s">
        <v>2</v>
      </c>
      <c r="C1" s="21" t="s">
        <v>8</v>
      </c>
    </row>
    <row r="2" spans="1:3" ht="29" x14ac:dyDescent="0.35">
      <c r="A2" s="12" t="s">
        <v>11</v>
      </c>
      <c r="B2" s="13">
        <v>2019</v>
      </c>
      <c r="C2" s="11" t="s">
        <v>34</v>
      </c>
    </row>
    <row r="3" spans="1:3" ht="29" x14ac:dyDescent="0.35">
      <c r="A3" s="12" t="s">
        <v>11</v>
      </c>
      <c r="B3" s="13">
        <v>2020</v>
      </c>
      <c r="C3" s="11" t="s">
        <v>35</v>
      </c>
    </row>
    <row r="4" spans="1:3" ht="43.5" x14ac:dyDescent="0.35">
      <c r="A4" s="12" t="s">
        <v>11</v>
      </c>
      <c r="B4" s="13">
        <v>2021</v>
      </c>
      <c r="C4" s="11" t="s">
        <v>36</v>
      </c>
    </row>
    <row r="5" spans="1:3" ht="43.5" x14ac:dyDescent="0.35">
      <c r="A5" s="12" t="s">
        <v>11</v>
      </c>
      <c r="B5" s="13">
        <v>2022</v>
      </c>
      <c r="C5" s="11" t="s">
        <v>37</v>
      </c>
    </row>
    <row r="6" spans="1:3" ht="29" x14ac:dyDescent="0.35">
      <c r="A6" s="12" t="s">
        <v>11</v>
      </c>
      <c r="B6" s="13">
        <v>2023</v>
      </c>
      <c r="C6" s="11" t="s">
        <v>38</v>
      </c>
    </row>
    <row r="7" spans="1:3" ht="29" x14ac:dyDescent="0.35">
      <c r="A7" s="12" t="s">
        <v>11</v>
      </c>
      <c r="B7" s="13">
        <v>2024</v>
      </c>
      <c r="C7" s="11" t="s">
        <v>39</v>
      </c>
    </row>
    <row r="8" spans="1:3" ht="43.5" x14ac:dyDescent="0.35">
      <c r="A8" s="12" t="s">
        <v>11</v>
      </c>
      <c r="B8" s="13">
        <v>2025</v>
      </c>
      <c r="C8" s="11" t="s">
        <v>40</v>
      </c>
    </row>
    <row r="9" spans="1:3" ht="43.5" x14ac:dyDescent="0.35">
      <c r="A9" s="12" t="s">
        <v>17</v>
      </c>
      <c r="B9" s="13">
        <v>2019</v>
      </c>
      <c r="C9" s="11" t="s">
        <v>41</v>
      </c>
    </row>
    <row r="10" spans="1:3" ht="43.5" x14ac:dyDescent="0.35">
      <c r="A10" s="12" t="s">
        <v>17</v>
      </c>
      <c r="B10" s="13">
        <v>2020</v>
      </c>
      <c r="C10" s="11" t="s">
        <v>42</v>
      </c>
    </row>
    <row r="11" spans="1:3" ht="43.5" x14ac:dyDescent="0.35">
      <c r="A11" s="12" t="s">
        <v>17</v>
      </c>
      <c r="B11" s="13">
        <v>2021</v>
      </c>
      <c r="C11" s="11" t="s">
        <v>43</v>
      </c>
    </row>
    <row r="12" spans="1:3" ht="43.5" x14ac:dyDescent="0.35">
      <c r="A12" s="12" t="s">
        <v>17</v>
      </c>
      <c r="B12" s="13">
        <v>2022</v>
      </c>
      <c r="C12" s="11" t="s">
        <v>44</v>
      </c>
    </row>
    <row r="13" spans="1:3" ht="43.5" x14ac:dyDescent="0.35">
      <c r="A13" s="12" t="s">
        <v>17</v>
      </c>
      <c r="B13" s="13">
        <v>2023</v>
      </c>
      <c r="C13" s="11" t="s">
        <v>45</v>
      </c>
    </row>
    <row r="14" spans="1:3" ht="29" x14ac:dyDescent="0.35">
      <c r="A14" s="12" t="s">
        <v>17</v>
      </c>
      <c r="B14" s="13">
        <v>2024</v>
      </c>
      <c r="C14" s="11" t="s">
        <v>46</v>
      </c>
    </row>
    <row r="15" spans="1:3" ht="43.5" x14ac:dyDescent="0.35">
      <c r="A15" s="12" t="s">
        <v>17</v>
      </c>
      <c r="B15" s="13">
        <v>2025</v>
      </c>
      <c r="C15" s="11" t="s">
        <v>47</v>
      </c>
    </row>
    <row r="16" spans="1:3" ht="29" x14ac:dyDescent="0.35">
      <c r="A16" s="12" t="s">
        <v>21</v>
      </c>
      <c r="B16" s="13">
        <v>2019</v>
      </c>
      <c r="C16" s="11" t="s">
        <v>34</v>
      </c>
    </row>
    <row r="17" spans="1:3" ht="72.5" x14ac:dyDescent="0.35">
      <c r="A17" s="12" t="s">
        <v>21</v>
      </c>
      <c r="B17" s="13">
        <v>2020</v>
      </c>
      <c r="C17" s="11" t="s">
        <v>48</v>
      </c>
    </row>
    <row r="18" spans="1:3" ht="72.5" x14ac:dyDescent="0.35">
      <c r="A18" s="12" t="s">
        <v>21</v>
      </c>
      <c r="B18" s="13">
        <v>2021</v>
      </c>
      <c r="C18" s="11" t="s">
        <v>49</v>
      </c>
    </row>
    <row r="19" spans="1:3" ht="43.5" x14ac:dyDescent="0.35">
      <c r="A19" s="12" t="s">
        <v>21</v>
      </c>
      <c r="B19" s="13">
        <v>2022</v>
      </c>
      <c r="C19" s="11" t="s">
        <v>50</v>
      </c>
    </row>
    <row r="20" spans="1:3" ht="58" x14ac:dyDescent="0.35">
      <c r="A20" s="12" t="s">
        <v>21</v>
      </c>
      <c r="B20" s="13">
        <v>2023</v>
      </c>
      <c r="C20" s="11" t="s">
        <v>51</v>
      </c>
    </row>
    <row r="21" spans="1:3" ht="58" x14ac:dyDescent="0.35">
      <c r="A21" s="12" t="s">
        <v>21</v>
      </c>
      <c r="B21" s="13">
        <v>2024</v>
      </c>
      <c r="C21" s="11" t="s">
        <v>52</v>
      </c>
    </row>
    <row r="22" spans="1:3" ht="58" x14ac:dyDescent="0.35">
      <c r="A22" s="12" t="s">
        <v>21</v>
      </c>
      <c r="B22" s="13">
        <v>2025</v>
      </c>
      <c r="C22" s="11" t="s">
        <v>53</v>
      </c>
    </row>
    <row r="23" spans="1:3" ht="29" x14ac:dyDescent="0.35">
      <c r="A23" s="12" t="s">
        <v>54</v>
      </c>
      <c r="B23" s="13">
        <v>2019</v>
      </c>
      <c r="C23" s="11" t="s">
        <v>57</v>
      </c>
    </row>
    <row r="24" spans="1:3" ht="43.5" x14ac:dyDescent="0.35">
      <c r="A24" s="12" t="s">
        <v>54</v>
      </c>
      <c r="B24" s="13">
        <v>2020</v>
      </c>
      <c r="C24" s="11" t="s">
        <v>64</v>
      </c>
    </row>
    <row r="25" spans="1:3" ht="29" x14ac:dyDescent="0.35">
      <c r="A25" s="12" t="s">
        <v>54</v>
      </c>
      <c r="B25" s="13">
        <v>2021</v>
      </c>
      <c r="C25" s="11" t="s">
        <v>65</v>
      </c>
    </row>
    <row r="26" spans="1:3" x14ac:dyDescent="0.35">
      <c r="A26" s="12" t="s">
        <v>54</v>
      </c>
      <c r="B26" s="13">
        <v>2022</v>
      </c>
      <c r="C26" s="11" t="s">
        <v>66</v>
      </c>
    </row>
    <row r="27" spans="1:3" x14ac:dyDescent="0.35">
      <c r="A27" s="12" t="s">
        <v>54</v>
      </c>
      <c r="B27" s="13">
        <v>2023</v>
      </c>
      <c r="C27" s="11" t="s">
        <v>67</v>
      </c>
    </row>
    <row r="28" spans="1:3" x14ac:dyDescent="0.35">
      <c r="A28" s="12" t="s">
        <v>54</v>
      </c>
      <c r="B28" s="13">
        <v>2024</v>
      </c>
      <c r="C28" s="11" t="s">
        <v>68</v>
      </c>
    </row>
    <row r="29" spans="1:3" ht="29" x14ac:dyDescent="0.35">
      <c r="A29" s="12" t="s">
        <v>54</v>
      </c>
      <c r="B29" s="13">
        <v>2025</v>
      </c>
      <c r="C29" s="11" t="s">
        <v>69</v>
      </c>
    </row>
    <row r="30" spans="1:3" ht="58" x14ac:dyDescent="0.35">
      <c r="A30" s="12" t="s">
        <v>70</v>
      </c>
      <c r="B30" s="13">
        <v>2019</v>
      </c>
      <c r="C30" s="11" t="s">
        <v>83</v>
      </c>
    </row>
    <row r="31" spans="1:3" x14ac:dyDescent="0.35">
      <c r="A31" s="12" t="s">
        <v>70</v>
      </c>
      <c r="B31" s="13">
        <v>2020</v>
      </c>
      <c r="C31" s="11" t="s">
        <v>81</v>
      </c>
    </row>
    <row r="32" spans="1:3" ht="29" x14ac:dyDescent="0.35">
      <c r="A32" s="12" t="s">
        <v>70</v>
      </c>
      <c r="B32" s="13">
        <v>2021</v>
      </c>
      <c r="C32" s="11" t="s">
        <v>65</v>
      </c>
    </row>
    <row r="33" spans="1:3" x14ac:dyDescent="0.35">
      <c r="A33" s="12" t="s">
        <v>70</v>
      </c>
      <c r="B33" s="13">
        <v>2022</v>
      </c>
      <c r="C33" s="11" t="s">
        <v>82</v>
      </c>
    </row>
    <row r="34" spans="1:3" ht="29" x14ac:dyDescent="0.35">
      <c r="A34" s="12" t="s">
        <v>70</v>
      </c>
      <c r="B34" s="13">
        <v>2023</v>
      </c>
      <c r="C34" s="11" t="s">
        <v>84</v>
      </c>
    </row>
    <row r="35" spans="1:3" x14ac:dyDescent="0.35">
      <c r="A35" s="12" t="s">
        <v>70</v>
      </c>
      <c r="B35" s="13">
        <v>2024</v>
      </c>
      <c r="C35" s="11" t="s">
        <v>85</v>
      </c>
    </row>
    <row r="36" spans="1:3" x14ac:dyDescent="0.35">
      <c r="A36" s="12" t="s">
        <v>70</v>
      </c>
      <c r="B36" s="13">
        <v>2025</v>
      </c>
      <c r="C36" s="11" t="s">
        <v>86</v>
      </c>
    </row>
    <row r="37" spans="1:3" x14ac:dyDescent="0.35">
      <c r="A37" s="12" t="s">
        <v>78</v>
      </c>
      <c r="B37" s="13">
        <v>2019</v>
      </c>
      <c r="C37" s="11" t="s">
        <v>10</v>
      </c>
    </row>
    <row r="38" spans="1:3" ht="29" x14ac:dyDescent="0.35">
      <c r="A38" s="12" t="s">
        <v>78</v>
      </c>
      <c r="B38" s="13">
        <v>2020</v>
      </c>
      <c r="C38" s="11" t="s">
        <v>65</v>
      </c>
    </row>
    <row r="39" spans="1:3" ht="29" x14ac:dyDescent="0.35">
      <c r="A39" s="12" t="s">
        <v>78</v>
      </c>
      <c r="B39" s="13">
        <v>2021</v>
      </c>
      <c r="C39" s="11" t="s">
        <v>87</v>
      </c>
    </row>
    <row r="40" spans="1:3" x14ac:dyDescent="0.35">
      <c r="A40" s="12" t="s">
        <v>78</v>
      </c>
      <c r="B40" s="13">
        <v>2022</v>
      </c>
      <c r="C40" s="11" t="s">
        <v>88</v>
      </c>
    </row>
    <row r="41" spans="1:3" x14ac:dyDescent="0.35">
      <c r="A41" s="12" t="s">
        <v>78</v>
      </c>
      <c r="B41" s="13">
        <v>2023</v>
      </c>
      <c r="C41" s="11" t="s">
        <v>85</v>
      </c>
    </row>
    <row r="42" spans="1:3" ht="29" x14ac:dyDescent="0.35">
      <c r="A42" s="12" t="s">
        <v>78</v>
      </c>
      <c r="B42" s="13">
        <v>2024</v>
      </c>
      <c r="C42" s="11" t="s">
        <v>89</v>
      </c>
    </row>
    <row r="43" spans="1:3" ht="29" x14ac:dyDescent="0.35">
      <c r="A43" s="12" t="s">
        <v>78</v>
      </c>
      <c r="B43" s="13">
        <v>2025</v>
      </c>
      <c r="C43" s="11" t="s">
        <v>80</v>
      </c>
    </row>
    <row r="44" spans="1:3" x14ac:dyDescent="0.35">
      <c r="C44" s="6"/>
    </row>
    <row r="45" spans="1:3" x14ac:dyDescent="0.35">
      <c r="C45" s="6"/>
    </row>
  </sheetData>
  <conditionalFormatting sqref="B44:B1048576 B1">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dc:creator>
  <cp:lastModifiedBy>Aditya Kumar</cp:lastModifiedBy>
  <dcterms:created xsi:type="dcterms:W3CDTF">2026-01-02T17:20:38Z</dcterms:created>
  <dcterms:modified xsi:type="dcterms:W3CDTF">2026-02-12T20:27:05Z</dcterms:modified>
</cp:coreProperties>
</file>